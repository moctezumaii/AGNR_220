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tk-my.sharepoint.com/personal/amolina6_utk_edu/Documents/Documents/Courses/AGNR220/fall2025/datafiles/"/>
    </mc:Choice>
  </mc:AlternateContent>
  <xr:revisionPtr revIDLastSave="117" documentId="8_{2921C869-35B9-44DB-9438-343502B4B272}" xr6:coauthVersionLast="47" xr6:coauthVersionMax="47" xr10:uidLastSave="{D6332D7B-481D-4F86-92B7-4A96DDAA2B99}"/>
  <bookViews>
    <workbookView xWindow="-120" yWindow="-120" windowWidth="29040" windowHeight="15840" activeTab="2" xr2:uid="{52A34347-0E45-4FE7-AF16-1AC4B8AA1F92}"/>
  </bookViews>
  <sheets>
    <sheet name="Table1_1" sheetId="3" r:id="rId1"/>
    <sheet name="Table1" sheetId="2" r:id="rId2"/>
    <sheet name="Sheet1" sheetId="1" r:id="rId3"/>
  </sheets>
  <definedNames>
    <definedName name="ExternalData_1" localSheetId="2" hidden="1">Sheet1!$A$1:$C$13</definedName>
    <definedName name="ExternalData_1" localSheetId="1" hidden="1">Table1!$A$1:$C$13</definedName>
    <definedName name="ExternalData_2" localSheetId="0" hidden="1">Table1_1!$A$1:$E$4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1" l="1"/>
  <c r="F3" i="1"/>
  <c r="F4" i="1"/>
  <c r="F5" i="1"/>
  <c r="F6" i="1"/>
  <c r="F7" i="1"/>
  <c r="F8" i="1"/>
  <c r="F9" i="1"/>
  <c r="F10" i="1"/>
  <c r="F11" i="1"/>
  <c r="F12" i="1"/>
  <c r="F13" i="1"/>
  <c r="F2" i="1"/>
  <c r="J3" i="1"/>
  <c r="K3" i="1" s="1"/>
  <c r="J2" i="1"/>
  <c r="K2" i="1" s="1"/>
  <c r="L2" i="1" s="1"/>
  <c r="I4" i="1"/>
  <c r="G6" i="1"/>
  <c r="G5" i="1"/>
  <c r="G3" i="1"/>
  <c r="G4" i="1"/>
  <c r="G7" i="1"/>
  <c r="G8" i="1"/>
  <c r="G9" i="1"/>
  <c r="G10" i="1"/>
  <c r="G11" i="1"/>
  <c r="G12" i="1"/>
  <c r="G13" i="1"/>
  <c r="G2" i="1"/>
  <c r="G14" i="1" s="1"/>
  <c r="D11" i="1"/>
  <c r="E11" i="1" s="1"/>
  <c r="D8" i="1"/>
  <c r="E8" i="1" s="1"/>
  <c r="D5" i="1"/>
  <c r="E5" i="1" s="1"/>
  <c r="D2" i="1"/>
  <c r="E2" i="1" s="1"/>
  <c r="E14" i="1" s="1"/>
  <c r="E15" i="1" s="1"/>
  <c r="C14" i="1"/>
  <c r="J4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AA69D81-B976-451D-A08C-CEDB247D372B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F7E30514-26CC-461F-8D72-28248D2F09F4}" keepAlive="1" name="Query - Table1 (2)" description="Connection to the 'Table1 (2)' query in the workbook." type="5" refreshedVersion="8" background="1" saveData="1">
    <dbPr connection="Provider=Microsoft.Mashup.OleDb.1;Data Source=$Workbook$;Location=&quot;Table1 (2)&quot;;Extended Properties=&quot;&quot;" command="SELECT * FROM [Table1 (2)]"/>
  </connection>
  <connection id="3" xr16:uid="{A94349F3-ED1F-4B2D-885F-F658F0794A6C}" keepAlive="1" name="Query - Table1_1" description="Connection to the 'Table1_1' query in the workbook." type="5" refreshedVersion="8" background="1" saveData="1">
    <dbPr connection="Provider=Microsoft.Mashup.OleDb.1;Data Source=$Workbook$;Location=Table1_1;Extended Properties=&quot;&quot;" command="SELECT * FROM [Table1_1]"/>
  </connection>
</connections>
</file>

<file path=xl/sharedStrings.xml><?xml version="1.0" encoding="utf-8"?>
<sst xmlns="http://schemas.openxmlformats.org/spreadsheetml/2006/main" count="48" uniqueCount="21">
  <si>
    <t>Replicate</t>
  </si>
  <si>
    <t>A</t>
  </si>
  <si>
    <t>B</t>
  </si>
  <si>
    <t>C</t>
  </si>
  <si>
    <t>D</t>
  </si>
  <si>
    <t>Attribute</t>
  </si>
  <si>
    <t>Value</t>
  </si>
  <si>
    <t>Treatment</t>
  </si>
  <si>
    <t>global mean</t>
  </si>
  <si>
    <t>Group mean</t>
  </si>
  <si>
    <t>group-global</t>
  </si>
  <si>
    <t>SSA</t>
  </si>
  <si>
    <t>ind-group</t>
  </si>
  <si>
    <t>Source</t>
  </si>
  <si>
    <t>Among</t>
  </si>
  <si>
    <t>Within</t>
  </si>
  <si>
    <t>Total</t>
  </si>
  <si>
    <t>SS</t>
  </si>
  <si>
    <t>df</t>
  </si>
  <si>
    <t>MS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</si>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</sst>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356948</xdr:colOff>
      <xdr:row>28</xdr:row>
      <xdr:rowOff>72676</xdr:rowOff>
    </xdr:from>
    <xdr:to>
      <xdr:col>6</xdr:col>
      <xdr:colOff>841262</xdr:colOff>
      <xdr:row>39</xdr:row>
      <xdr:rowOff>186910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1350CA-23F3-1B33-6CAF-97F7B8BF10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6948" y="5334105"/>
          <a:ext cx="5011138" cy="2171698"/>
        </a:xfrm>
        <a:prstGeom prst="rect">
          <a:avLst/>
        </a:prstGeom>
      </xdr:spPr>
    </xdr:pic>
    <xdr:clientData/>
  </xdr:twoCellAnchor>
  <xdr:twoCellAnchor editAs="oneCell">
    <xdr:from>
      <xdr:col>0</xdr:col>
      <xdr:colOff>528242</xdr:colOff>
      <xdr:row>17</xdr:row>
      <xdr:rowOff>48889</xdr:rowOff>
    </xdr:from>
    <xdr:to>
      <xdr:col>5</xdr:col>
      <xdr:colOff>304868</xdr:colOff>
      <xdr:row>21</xdr:row>
      <xdr:rowOff>149425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8E5C06C-E26F-FF4F-D41F-3248EAAAF3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8242" y="3320949"/>
          <a:ext cx="3695201" cy="866622"/>
        </a:xfrm>
        <a:prstGeom prst="rect">
          <a:avLst/>
        </a:prstGeom>
      </xdr:spPr>
    </xdr:pic>
    <xdr:clientData/>
  </xdr:twoCellAnchor>
  <xdr:twoCellAnchor editAs="oneCell">
    <xdr:from>
      <xdr:col>3</xdr:col>
      <xdr:colOff>305667</xdr:colOff>
      <xdr:row>27</xdr:row>
      <xdr:rowOff>85459</xdr:rowOff>
    </xdr:from>
    <xdr:to>
      <xdr:col>10</xdr:col>
      <xdr:colOff>339349</xdr:colOff>
      <xdr:row>36</xdr:row>
      <xdr:rowOff>3013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C8F55CE-D7A2-7F7B-BF53-38F4EA575B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30707" y="5228959"/>
          <a:ext cx="5421022" cy="1641579"/>
        </a:xfrm>
        <a:prstGeom prst="rect">
          <a:avLst/>
        </a:prstGeom>
      </xdr:spPr>
    </xdr:pic>
    <xdr:clientData/>
  </xdr:twoCellAnchor>
  <xdr:twoCellAnchor editAs="oneCell">
    <xdr:from>
      <xdr:col>10</xdr:col>
      <xdr:colOff>220488</xdr:colOff>
      <xdr:row>5</xdr:row>
      <xdr:rowOff>48915</xdr:rowOff>
    </xdr:from>
    <xdr:to>
      <xdr:col>24</xdr:col>
      <xdr:colOff>384508</xdr:colOff>
      <xdr:row>23</xdr:row>
      <xdr:rowOff>35137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96EFBBE-DB34-49F3-C196-612A8945F9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840488" y="1001415"/>
          <a:ext cx="8934640" cy="3409507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4EF6838F-E340-4A14-8639-D955EEFE6E01}" autoFormatId="16" applyNumberFormats="0" applyBorderFormats="0" applyFontFormats="0" applyPatternFormats="0" applyAlignmentFormats="0" applyWidthHeightFormats="0">
  <queryTableRefresh nextId="6">
    <queryTableFields count="5">
      <queryTableField id="1" name="Replicate" tableColumnId="1"/>
      <queryTableField id="2" name="A" tableColumnId="2"/>
      <queryTableField id="3" name="B" tableColumnId="3"/>
      <queryTableField id="4" name="C" tableColumnId="4"/>
      <queryTableField id="5" name="D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576C8B2-4253-45A7-90BD-D060D55FE636}" autoFormatId="16" applyNumberFormats="0" applyBorderFormats="0" applyFontFormats="0" applyPatternFormats="0" applyAlignmentFormats="0" applyWidthHeightFormats="0">
  <queryTableRefresh nextId="4">
    <queryTableFields count="3">
      <queryTableField id="1" name="Replicate" tableColumnId="1"/>
      <queryTableField id="2" name="Attribute" tableColumnId="2"/>
      <queryTableField id="3" name="Value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10DDDA7C-7238-4E01-8B1D-889E7E1CB9B5}" autoFormatId="16" applyNumberFormats="0" applyBorderFormats="0" applyFontFormats="0" applyPatternFormats="0" applyAlignmentFormats="0" applyWidthHeightFormats="0">
  <queryTableRefresh nextId="4">
    <queryTableFields count="3">
      <queryTableField id="1" name="Replicate" tableColumnId="1"/>
      <queryTableField id="2" name="Attribute" tableColumnId="2"/>
      <queryTableField id="3" name="Value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A992562-95C5-4D66-AF16-1805D03F07EC}" name="Table1_2" displayName="Table1_2" ref="A1:E4" tableType="queryTable" totalsRowShown="0">
  <autoFilter ref="A1:E4" xr:uid="{1A992562-95C5-4D66-AF16-1805D03F07EC}"/>
  <tableColumns count="5">
    <tableColumn id="1" xr3:uid="{F3701A7D-4913-46BD-AFE0-DF198B125319}" uniqueName="1" name="Replicate" queryTableFieldId="1"/>
    <tableColumn id="2" xr3:uid="{9FBA3BF2-0137-4E71-B99E-CA49D23623EA}" uniqueName="2" name="A" queryTableFieldId="2"/>
    <tableColumn id="3" xr3:uid="{8815E0B8-E153-4054-9992-FC812A7D2A70}" uniqueName="3" name="B" queryTableFieldId="3"/>
    <tableColumn id="4" xr3:uid="{D024036B-82A2-4107-B7A8-C6B9F82B4B5E}" uniqueName="4" name="C" queryTableFieldId="4"/>
    <tableColumn id="5" xr3:uid="{218431C9-83BD-4CCD-B69A-BAB1C090823F}" uniqueName="5" name="D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69F38B2-0221-4518-91AE-7222FC316F73}" name="Table1_1" displayName="Table1_1" ref="A1:C13" tableType="queryTable" totalsRowShown="0">
  <autoFilter ref="A1:C13" xr:uid="{069F38B2-0221-4518-91AE-7222FC316F73}"/>
  <tableColumns count="3">
    <tableColumn id="1" xr3:uid="{01A6C663-C6EE-40E5-93AF-6B6AF3AA5E6F}" uniqueName="1" name="Replicate" queryTableFieldId="1"/>
    <tableColumn id="2" xr3:uid="{87888463-754C-4D60-B933-47831000F85E}" uniqueName="2" name="Attribute" queryTableFieldId="2" dataDxfId="1"/>
    <tableColumn id="3" xr3:uid="{6EBC494E-090E-4E0B-A9ED-9D3612761986}" uniqueName="3" name="Value" queryTableField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1F7F7E9-8608-4913-96F6-31F805D2ED4B}" name="Table1_14" displayName="Table1_14" ref="A1:C13" tableType="queryTable" totalsRowShown="0">
  <autoFilter ref="A1:C13" xr:uid="{51F7F7E9-8608-4913-96F6-31F805D2ED4B}"/>
  <sortState xmlns:xlrd2="http://schemas.microsoft.com/office/spreadsheetml/2017/richdata2" ref="A2:C13">
    <sortCondition ref="B1:B13"/>
  </sortState>
  <tableColumns count="3">
    <tableColumn id="1" xr3:uid="{EE609C9F-550D-4A44-A59B-226F25C38DD5}" uniqueName="1" name="Replicate" queryTableFieldId="1"/>
    <tableColumn id="2" xr3:uid="{CE6F7A02-54EB-4A07-A1ED-05F7A356DC53}" uniqueName="2" name="Treatment" queryTableFieldId="2" dataDxfId="0"/>
    <tableColumn id="3" xr3:uid="{2A3FB1B1-9299-4684-8A90-D31E425D0957}" uniqueName="3" name="Value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5C385-E62C-43AA-930D-E512A370209D}">
  <dimension ref="A1:E4"/>
  <sheetViews>
    <sheetView workbookViewId="0">
      <selection sqref="A1:E4"/>
    </sheetView>
  </sheetViews>
  <sheetFormatPr defaultRowHeight="15" x14ac:dyDescent="0.25"/>
  <cols>
    <col min="1" max="1" width="14.28515625" customWidth="1"/>
    <col min="2" max="3" width="4.42578125" bestFit="1" customWidth="1"/>
    <col min="4" max="5" width="4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4.2</v>
      </c>
      <c r="C2">
        <v>5</v>
      </c>
      <c r="D2">
        <v>6</v>
      </c>
      <c r="E2">
        <v>7</v>
      </c>
    </row>
    <row r="3" spans="1:5" x14ac:dyDescent="0.25">
      <c r="A3">
        <v>2</v>
      </c>
      <c r="B3">
        <v>4</v>
      </c>
      <c r="C3">
        <v>5.5</v>
      </c>
      <c r="D3">
        <v>6.5</v>
      </c>
      <c r="E3">
        <v>8</v>
      </c>
    </row>
    <row r="4" spans="1:5" x14ac:dyDescent="0.25">
      <c r="A4">
        <v>3</v>
      </c>
      <c r="B4">
        <v>4.5</v>
      </c>
      <c r="C4">
        <v>6</v>
      </c>
      <c r="D4">
        <v>7</v>
      </c>
      <c r="E4">
        <v>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56590-69C1-440F-BE08-92D91C24F77A}">
  <dimension ref="A1:C13"/>
  <sheetViews>
    <sheetView workbookViewId="0">
      <selection sqref="A1:C13"/>
    </sheetView>
  </sheetViews>
  <sheetFormatPr defaultRowHeight="15" x14ac:dyDescent="0.25"/>
  <cols>
    <col min="1" max="1" width="11.85546875" bestFit="1" customWidth="1"/>
    <col min="2" max="2" width="11.28515625" bestFit="1" customWidth="1"/>
    <col min="3" max="3" width="8.28515625" bestFit="1" customWidth="1"/>
  </cols>
  <sheetData>
    <row r="1" spans="1:3" x14ac:dyDescent="0.25">
      <c r="A1" t="s">
        <v>0</v>
      </c>
      <c r="B1" t="s">
        <v>5</v>
      </c>
      <c r="C1" t="s">
        <v>6</v>
      </c>
    </row>
    <row r="2" spans="1:3" x14ac:dyDescent="0.25">
      <c r="A2">
        <v>1</v>
      </c>
      <c r="B2" s="1" t="s">
        <v>1</v>
      </c>
      <c r="C2">
        <v>4.2</v>
      </c>
    </row>
    <row r="3" spans="1:3" x14ac:dyDescent="0.25">
      <c r="A3">
        <v>1</v>
      </c>
      <c r="B3" s="1" t="s">
        <v>2</v>
      </c>
      <c r="C3">
        <v>5</v>
      </c>
    </row>
    <row r="4" spans="1:3" x14ac:dyDescent="0.25">
      <c r="A4">
        <v>1</v>
      </c>
      <c r="B4" s="1" t="s">
        <v>3</v>
      </c>
      <c r="C4">
        <v>6</v>
      </c>
    </row>
    <row r="5" spans="1:3" x14ac:dyDescent="0.25">
      <c r="A5">
        <v>1</v>
      </c>
      <c r="B5" s="1" t="s">
        <v>4</v>
      </c>
      <c r="C5">
        <v>7</v>
      </c>
    </row>
    <row r="6" spans="1:3" x14ac:dyDescent="0.25">
      <c r="A6">
        <v>2</v>
      </c>
      <c r="B6" s="1" t="s">
        <v>1</v>
      </c>
      <c r="C6">
        <v>4</v>
      </c>
    </row>
    <row r="7" spans="1:3" x14ac:dyDescent="0.25">
      <c r="A7">
        <v>2</v>
      </c>
      <c r="B7" s="1" t="s">
        <v>2</v>
      </c>
      <c r="C7">
        <v>5.5</v>
      </c>
    </row>
    <row r="8" spans="1:3" x14ac:dyDescent="0.25">
      <c r="A8">
        <v>2</v>
      </c>
      <c r="B8" s="1" t="s">
        <v>3</v>
      </c>
      <c r="C8">
        <v>6.5</v>
      </c>
    </row>
    <row r="9" spans="1:3" x14ac:dyDescent="0.25">
      <c r="A9">
        <v>2</v>
      </c>
      <c r="B9" s="1" t="s">
        <v>4</v>
      </c>
      <c r="C9">
        <v>8</v>
      </c>
    </row>
    <row r="10" spans="1:3" x14ac:dyDescent="0.25">
      <c r="A10">
        <v>3</v>
      </c>
      <c r="B10" s="1" t="s">
        <v>1</v>
      </c>
      <c r="C10">
        <v>4.5</v>
      </c>
    </row>
    <row r="11" spans="1:3" x14ac:dyDescent="0.25">
      <c r="A11">
        <v>3</v>
      </c>
      <c r="B11" s="1" t="s">
        <v>2</v>
      </c>
      <c r="C11">
        <v>6</v>
      </c>
    </row>
    <row r="12" spans="1:3" x14ac:dyDescent="0.25">
      <c r="A12">
        <v>3</v>
      </c>
      <c r="B12" s="1" t="s">
        <v>3</v>
      </c>
      <c r="C12">
        <v>7</v>
      </c>
    </row>
    <row r="13" spans="1:3" x14ac:dyDescent="0.25">
      <c r="A13">
        <v>3</v>
      </c>
      <c r="B13" s="1" t="s">
        <v>4</v>
      </c>
      <c r="C13">
        <v>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DE644-C774-408A-A061-DD426026222F}">
  <dimension ref="A1:L15"/>
  <sheetViews>
    <sheetView tabSelected="1" zoomScaleNormal="130" workbookViewId="0">
      <selection activeCell="H6" sqref="H6"/>
    </sheetView>
  </sheetViews>
  <sheetFormatPr defaultRowHeight="15" x14ac:dyDescent="0.25"/>
  <cols>
    <col min="1" max="1" width="9.5703125" customWidth="1"/>
    <col min="2" max="2" width="12.5703125" bestFit="1" customWidth="1"/>
    <col min="3" max="3" width="11.140625" customWidth="1"/>
    <col min="4" max="4" width="13" customWidth="1"/>
    <col min="5" max="5" width="12.42578125" bestFit="1" customWidth="1"/>
    <col min="7" max="7" width="18.85546875" customWidth="1"/>
    <col min="12" max="12" width="12.7109375" customWidth="1"/>
  </cols>
  <sheetData>
    <row r="1" spans="1:12" x14ac:dyDescent="0.25">
      <c r="A1" t="s">
        <v>0</v>
      </c>
      <c r="B1" t="s">
        <v>7</v>
      </c>
      <c r="C1" t="s">
        <v>6</v>
      </c>
      <c r="D1" t="s">
        <v>9</v>
      </c>
      <c r="E1" t="s">
        <v>10</v>
      </c>
      <c r="G1" t="s">
        <v>12</v>
      </c>
      <c r="H1" s="4" t="s">
        <v>13</v>
      </c>
      <c r="I1" s="4" t="s">
        <v>17</v>
      </c>
      <c r="J1" s="4" t="s">
        <v>18</v>
      </c>
      <c r="K1" s="4" t="s">
        <v>19</v>
      </c>
      <c r="L1" s="4" t="s">
        <v>20</v>
      </c>
    </row>
    <row r="2" spans="1:12" x14ac:dyDescent="0.25">
      <c r="A2">
        <v>1</v>
      </c>
      <c r="B2" s="1" t="s">
        <v>1</v>
      </c>
      <c r="C2">
        <v>4.2</v>
      </c>
      <c r="D2">
        <f>AVERAGE(C2:C4)</f>
        <v>4.2333333333333334</v>
      </c>
      <c r="E2">
        <f>(D2-$C$14)^2</f>
        <v>3.3306250000000008</v>
      </c>
      <c r="F2">
        <f>(D2-$C$14)^2</f>
        <v>3.3306250000000008</v>
      </c>
      <c r="G2">
        <f>(Table1_14[[#This Row],[Value]]-D2)^2</f>
        <v>1.1111111111111033E-3</v>
      </c>
      <c r="H2" s="4" t="s">
        <v>14</v>
      </c>
      <c r="I2" s="4">
        <v>22.822499999999998</v>
      </c>
      <c r="J2" s="4">
        <f>4-1</f>
        <v>3</v>
      </c>
      <c r="K2" s="4">
        <f>I2/J2</f>
        <v>7.607499999999999</v>
      </c>
      <c r="L2" s="4">
        <f>K2/K3</f>
        <v>19.464818763326221</v>
      </c>
    </row>
    <row r="3" spans="1:12" x14ac:dyDescent="0.25">
      <c r="A3">
        <v>2</v>
      </c>
      <c r="B3" s="1" t="s">
        <v>1</v>
      </c>
      <c r="C3">
        <v>4</v>
      </c>
      <c r="D3">
        <v>4.2333333333333334</v>
      </c>
      <c r="F3">
        <f t="shared" ref="F3:F13" si="0">(D3-$C$14)^2</f>
        <v>3.3306250000000008</v>
      </c>
      <c r="G3">
        <f>(Table1_14[[#This Row],[Value]]-D3)^2</f>
        <v>5.4444444444444469E-2</v>
      </c>
      <c r="H3" s="4" t="s">
        <v>15</v>
      </c>
      <c r="I3" s="4">
        <v>3.1266666666666669</v>
      </c>
      <c r="J3" s="4">
        <f>4*(3-1)</f>
        <v>8</v>
      </c>
      <c r="K3" s="4">
        <f>I3/J3</f>
        <v>0.39083333333333337</v>
      </c>
      <c r="L3" s="4"/>
    </row>
    <row r="4" spans="1:12" x14ac:dyDescent="0.25">
      <c r="A4">
        <v>3</v>
      </c>
      <c r="B4" s="1" t="s">
        <v>1</v>
      </c>
      <c r="C4">
        <v>4.5</v>
      </c>
      <c r="D4">
        <v>4.2333333333333334</v>
      </c>
      <c r="F4">
        <f t="shared" si="0"/>
        <v>3.3306250000000008</v>
      </c>
      <c r="G4">
        <f>(Table1_14[[#This Row],[Value]]-D4)^2</f>
        <v>7.1111111111111083E-2</v>
      </c>
      <c r="H4" s="4" t="s">
        <v>16</v>
      </c>
      <c r="I4" s="4">
        <f>I2+I3</f>
        <v>25.949166666666663</v>
      </c>
      <c r="J4" s="4">
        <f>J2+J3</f>
        <v>11</v>
      </c>
      <c r="K4" s="4"/>
      <c r="L4" s="4"/>
    </row>
    <row r="5" spans="1:12" x14ac:dyDescent="0.25">
      <c r="A5">
        <v>1</v>
      </c>
      <c r="B5" s="1" t="s">
        <v>2</v>
      </c>
      <c r="C5">
        <v>5</v>
      </c>
      <c r="D5">
        <f>AVERAGE(C5:C7)</f>
        <v>5.5</v>
      </c>
      <c r="E5">
        <f>(D5-$C$14)^2</f>
        <v>0.31173611111111138</v>
      </c>
      <c r="F5">
        <f t="shared" si="0"/>
        <v>0.31173611111111138</v>
      </c>
      <c r="G5">
        <f>(Table1_14[[#This Row],[Value]]-D5)^2</f>
        <v>0.25</v>
      </c>
    </row>
    <row r="6" spans="1:12" x14ac:dyDescent="0.25">
      <c r="A6">
        <v>2</v>
      </c>
      <c r="B6" s="1" t="s">
        <v>2</v>
      </c>
      <c r="C6">
        <v>5.5</v>
      </c>
      <c r="D6">
        <v>5.5</v>
      </c>
      <c r="F6">
        <f t="shared" si="0"/>
        <v>0.31173611111111138</v>
      </c>
      <c r="G6">
        <f>(Table1_14[[#This Row],[Value]]-D6)^2</f>
        <v>0</v>
      </c>
    </row>
    <row r="7" spans="1:12" x14ac:dyDescent="0.25">
      <c r="A7">
        <v>3</v>
      </c>
      <c r="B7" s="1" t="s">
        <v>2</v>
      </c>
      <c r="C7">
        <v>6</v>
      </c>
      <c r="D7">
        <v>5.5</v>
      </c>
      <c r="F7">
        <f t="shared" si="0"/>
        <v>0.31173611111111138</v>
      </c>
      <c r="G7">
        <f>(Table1_14[[#This Row],[Value]]-D7)^2</f>
        <v>0.25</v>
      </c>
    </row>
    <row r="8" spans="1:12" x14ac:dyDescent="0.25">
      <c r="A8">
        <v>1</v>
      </c>
      <c r="B8" s="1" t="s">
        <v>3</v>
      </c>
      <c r="C8">
        <v>6</v>
      </c>
      <c r="D8">
        <f>AVERAGE(C8:C10)</f>
        <v>6.5</v>
      </c>
      <c r="E8">
        <f>(D8-$C$14)^2</f>
        <v>0.19506944444444424</v>
      </c>
      <c r="F8">
        <f t="shared" si="0"/>
        <v>0.19506944444444424</v>
      </c>
      <c r="G8">
        <f>(Table1_14[[#This Row],[Value]]-D8)^2</f>
        <v>0.25</v>
      </c>
    </row>
    <row r="9" spans="1:12" x14ac:dyDescent="0.25">
      <c r="A9">
        <v>2</v>
      </c>
      <c r="B9" s="1" t="s">
        <v>3</v>
      </c>
      <c r="C9">
        <v>6.5</v>
      </c>
      <c r="D9">
        <v>6.5</v>
      </c>
      <c r="F9">
        <f t="shared" si="0"/>
        <v>0.19506944444444424</v>
      </c>
      <c r="G9">
        <f>(Table1_14[[#This Row],[Value]]-D9)^2</f>
        <v>0</v>
      </c>
    </row>
    <row r="10" spans="1:12" x14ac:dyDescent="0.25">
      <c r="A10">
        <v>3</v>
      </c>
      <c r="B10" s="1" t="s">
        <v>3</v>
      </c>
      <c r="C10">
        <v>7</v>
      </c>
      <c r="D10">
        <v>6.5</v>
      </c>
      <c r="F10">
        <f t="shared" si="0"/>
        <v>0.19506944444444424</v>
      </c>
      <c r="G10">
        <f>(Table1_14[[#This Row],[Value]]-D10)^2</f>
        <v>0.25</v>
      </c>
    </row>
    <row r="11" spans="1:12" x14ac:dyDescent="0.25">
      <c r="A11">
        <v>1</v>
      </c>
      <c r="B11" s="1" t="s">
        <v>4</v>
      </c>
      <c r="C11">
        <v>7</v>
      </c>
      <c r="D11">
        <f>AVERAGE(C11:C13)</f>
        <v>8</v>
      </c>
      <c r="E11">
        <f>(D11-$C$14)^2</f>
        <v>3.7700694444444434</v>
      </c>
      <c r="F11">
        <f t="shared" si="0"/>
        <v>3.7700694444444434</v>
      </c>
      <c r="G11">
        <f>(Table1_14[[#This Row],[Value]]-D11)^2</f>
        <v>1</v>
      </c>
    </row>
    <row r="12" spans="1:12" x14ac:dyDescent="0.25">
      <c r="A12">
        <v>2</v>
      </c>
      <c r="B12" s="1" t="s">
        <v>4</v>
      </c>
      <c r="C12">
        <v>8</v>
      </c>
      <c r="D12">
        <v>8</v>
      </c>
      <c r="F12">
        <f t="shared" si="0"/>
        <v>3.7700694444444434</v>
      </c>
      <c r="G12">
        <f>(Table1_14[[#This Row],[Value]]-D12)^2</f>
        <v>0</v>
      </c>
    </row>
    <row r="13" spans="1:12" x14ac:dyDescent="0.25">
      <c r="A13">
        <v>3</v>
      </c>
      <c r="B13" s="1" t="s">
        <v>4</v>
      </c>
      <c r="C13">
        <v>9</v>
      </c>
      <c r="D13">
        <v>8</v>
      </c>
      <c r="F13">
        <f t="shared" si="0"/>
        <v>3.7700694444444434</v>
      </c>
      <c r="G13">
        <f>(Table1_14[[#This Row],[Value]]-D13)^2</f>
        <v>1</v>
      </c>
    </row>
    <row r="14" spans="1:12" x14ac:dyDescent="0.25">
      <c r="B14" t="s">
        <v>8</v>
      </c>
      <c r="C14">
        <f>AVERAGE(Table1_14[Value])</f>
        <v>6.0583333333333336</v>
      </c>
      <c r="E14">
        <f>SUM(E2:E11)</f>
        <v>7.6074999999999999</v>
      </c>
      <c r="G14" s="3">
        <f>SUM(G2:G13)</f>
        <v>3.1266666666666669</v>
      </c>
    </row>
    <row r="15" spans="1:12" x14ac:dyDescent="0.25">
      <c r="D15" s="2" t="s">
        <v>11</v>
      </c>
      <c r="E15" s="2">
        <f>E14*3</f>
        <v>22.822499999999998</v>
      </c>
      <c r="F15">
        <f>SUM(F2:F13)</f>
        <v>22.822499999999998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B49FB2E-91ED-4064-9F4F-AE090317B34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Table1_1</vt:lpstr>
      <vt:lpstr>Table1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Molina Moctezuma, Alejandro</dc:creator>
  <cp:lastModifiedBy>Molina Moctezuma, Alejandro</cp:lastModifiedBy>
  <dcterms:created xsi:type="dcterms:W3CDTF">2025-11-11T15:37:48Z</dcterms:created>
  <dcterms:modified xsi:type="dcterms:W3CDTF">2025-11-13T15:12:12Z</dcterms:modified>
</cp:coreProperties>
</file>